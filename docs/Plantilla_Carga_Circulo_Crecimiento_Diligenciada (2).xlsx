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activeTab="2"/>
  </bookViews>
  <sheets>
    <sheet name="Instrucciones" sheetId="1" r:id="rId1"/>
    <sheet name="1. Colaboradores" sheetId="2" r:id="rId2"/>
    <sheet name="2. Cargos" sheetId="3" r:id="rId3"/>
    <sheet name="3. Formación y S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<sst xmlns="http://schemas.openxmlformats.org/spreadsheetml/2006/main" count="469" uniqueCount="237">
  <si>
    <t>Círculo de Crecimiento 360° — Plantilla de carga inicial</t>
  </si>
  <si>
    <t>Mármoles y Servicios · FlowAndo</t>
  </si>
  <si>
    <t/>
  </si>
  <si>
    <t>Hola Alexa,</t>
  </si>
  <si>
    <t>Esta plantilla tiene 3 hojas para llenar. Por favor completa cada una con la información</t>
  </si>
  <si>
    <t>que ya manejas en tus archivos actuales (Excel de personal, contratos, SST, etc.).</t>
  </si>
  <si>
    <t>No necesitas crear nada nuevo: solo copiar/pegar lo que ya existe en el formato de estas columnas.</t>
  </si>
  <si>
    <t>HOJA 1 · Colaboradores</t>
  </si>
  <si>
    <t xml:space="preserve">   Un renglón por cada persona activa hoy en la empresa (37 en total, según el organigrama).</t>
  </si>
  <si>
    <t xml:space="preserve">   Incluye el nombre EXACTO del cargo tal como aparece en la hoja 'Cargos' (columna B).</t>
  </si>
  <si>
    <t>HOJA 2 · Cargos</t>
  </si>
  <si>
    <t xml:space="preserve">   Un renglón por cada cargo distinto que exista en la empresa (no por persona).</t>
  </si>
  <si>
    <t xml:space="preserve">   Si dos personas comparten el mismo cargo (ej. dos Asesores Comerciales), va UNA sola fila.</t>
  </si>
  <si>
    <t>HOJA 3 · Formación y Certificaciones (SST)</t>
  </si>
  <si>
    <t xml:space="preserve">   Un renglón por cada certificación, curso o título que tenga cada persona.</t>
  </si>
  <si>
    <t xml:space="preserve">   Esta hoja es la más importante para las ALERTAS del sistema: sin fecha de vencimiento,</t>
  </si>
  <si>
    <t xml:space="preserve">   el sistema no puede avisar cuándo se vence una certificación de alturas, montacargas, etc.</t>
  </si>
  <si>
    <t>Celdas moradas claras = fila de ejemplo (bórrala antes de enviar, o déjala como guía).</t>
  </si>
  <si>
    <t>Celdas con fondo amarillo pálido en el encabezado = dato obligatorio.</t>
  </si>
  <si>
    <t>Cuando la tengas lista, envíamela y nosotros hacemos la primera carga en el sistema.</t>
  </si>
  <si>
    <t>Las próximas veces (personas nuevas, cambios de cargo) las vas a poder cargar tú misma</t>
  </si>
  <si>
    <t>desde el Dashboard, en Administración → Carga masiva.</t>
  </si>
  <si>
    <t>Nombre completo*</t>
  </si>
  <si>
    <t>Número de documento*</t>
  </si>
  <si>
    <t>Cargo (igual a Hoja Cargos)*</t>
  </si>
  <si>
    <t>Área / Proceso</t>
  </si>
  <si>
    <t>Líder directo (nombre completo)</t>
  </si>
  <si>
    <t>Correo electrónico</t>
  </si>
  <si>
    <t>Teléfono</t>
  </si>
  <si>
    <t>Fecha de ingreso*</t>
  </si>
  <si>
    <t>Tipo de contrato*</t>
  </si>
  <si>
    <t>Fecha fin de contrato (si aplica)</t>
  </si>
  <si>
    <t>Estado*</t>
  </si>
  <si>
    <t>BRAYNER JOSEVERGARA PEREZ</t>
  </si>
  <si>
    <t>OPERARIO DE PRODUCCIÓN</t>
  </si>
  <si>
    <t>PRODUCCIÓN</t>
  </si>
  <si>
    <t>Diana Patricia Zapata</t>
  </si>
  <si>
    <t>braynervergara09@gmail.com</t>
  </si>
  <si>
    <t>Fijo</t>
  </si>
  <si>
    <t>ACTIVO</t>
  </si>
  <si>
    <t>CARLOS ANDRÉS MARTINEZ BALDOVINO</t>
  </si>
  <si>
    <t>17051999cmb@gmail.com</t>
  </si>
  <si>
    <t>CARMEN ELISA SERPA MADRIGAL</t>
  </si>
  <si>
    <t>ASESORA COMERCIAL</t>
  </si>
  <si>
    <t>COMERCIAL</t>
  </si>
  <si>
    <t>Tatiana Marcela Serna</t>
  </si>
  <si>
    <t>carmenelisa0969@gmail.com</t>
  </si>
  <si>
    <t>INDEFINIDO</t>
  </si>
  <si>
    <t>NA</t>
  </si>
  <si>
    <t>CRISTINA ISABEL PEREZ CASTAÑO</t>
  </si>
  <si>
    <t xml:space="preserve">Crisisa.82@hotmail.com </t>
  </si>
  <si>
    <t xml:space="preserve">DANIEL GERARDO FLOREZ PEREZ </t>
  </si>
  <si>
    <t>AUXILIAR DE INVENTARIOS</t>
  </si>
  <si>
    <t>LOGÍSTICO INVENTARIOS</t>
  </si>
  <si>
    <t>Jhon Fredy Rendón</t>
  </si>
  <si>
    <t>daflo2021@gmail.com</t>
  </si>
  <si>
    <t>DERWIS JOSE GONZALEZ OCANDO</t>
  </si>
  <si>
    <t xml:space="preserve">5827868
</t>
  </si>
  <si>
    <t>derwis.jose25@gmail.com</t>
  </si>
  <si>
    <t>DIANA CATALINA MANCO BETANCUR</t>
  </si>
  <si>
    <t>dianamanco19@hotmail.com</t>
  </si>
  <si>
    <t xml:space="preserve">DIANA PATRICIA ZAPATA ZAPATA </t>
  </si>
  <si>
    <t>COORDINADORA DE PRODUCCIÓN</t>
  </si>
  <si>
    <t>Luz Adriana Rozo</t>
  </si>
  <si>
    <t xml:space="preserve"> dianapz14@hotmail.com </t>
  </si>
  <si>
    <t>ELIZABETH OSORIO CORDOBA</t>
  </si>
  <si>
    <t>AUXILIAR DE SERVICIOS GENERALES</t>
  </si>
  <si>
    <t>ADMINISTRATIVO</t>
  </si>
  <si>
    <t>Alexandra Rozo</t>
  </si>
  <si>
    <t>osoriocordobajose@gmail.com</t>
  </si>
  <si>
    <t>3505623962
3336084462</t>
  </si>
  <si>
    <t>INCAPACITADA</t>
  </si>
  <si>
    <t>EVELI CORDOBA RESTREPO</t>
  </si>
  <si>
    <t>AUXILIAR DE PRODUCCIÓN Y GESTIÓN DE CONTRATISTAS</t>
  </si>
  <si>
    <t>evelicores@gmail.com</t>
  </si>
  <si>
    <t>FRAY ANTONIO MERCADO ATENCIA</t>
  </si>
  <si>
    <t>OPERARIO LOGISTICO Y DE INVENTARIOS</t>
  </si>
  <si>
    <t>fray.mercado05@gmail.com</t>
  </si>
  <si>
    <t>IAN MATEO NARVÁEZ VIVEROS</t>
  </si>
  <si>
    <t>AUXILIAR LOGÍSTICO</t>
  </si>
  <si>
    <t>iannarva0710@gmail.com</t>
  </si>
  <si>
    <t>JACOB MENDEZ MELENDRE</t>
  </si>
  <si>
    <t>OPERARIO DE MÁQUINA CORTADORA Y OTROS OFICIOS DE PRODUCCIÓN</t>
  </si>
  <si>
    <t>holguinerica471@gmail.com</t>
  </si>
  <si>
    <t>JAHN CARLOS FLORES TORO</t>
  </si>
  <si>
    <t xml:space="preserve">jahncarlosflorestoro@gmail.com </t>
  </si>
  <si>
    <t>JANE ALEXANDRA ROZO TREJOS</t>
  </si>
  <si>
    <t>DIRECTORA DE DESARROLLO ORGANIZACIONAL Y TALENTO HUMANO</t>
  </si>
  <si>
    <t>TALENTO HUMANO</t>
  </si>
  <si>
    <t>alexarosso77@hotmail.com</t>
  </si>
  <si>
    <t>JHON FREDY RENDON RODAS</t>
  </si>
  <si>
    <t>COORDINADOR LOGÍSTICO E INVENTARIOS</t>
  </si>
  <si>
    <t>fredy1219r@yahoo.com</t>
  </si>
  <si>
    <t>JOSE ARMANDO KETTERER YONUSG</t>
  </si>
  <si>
    <t>joseketterer139@gmail.com</t>
  </si>
  <si>
    <t>JUAN PABLO OSORIO PRECIADO</t>
  </si>
  <si>
    <t>pabloosorio975@gmail.com</t>
  </si>
  <si>
    <t>JULIO MAURICIO CARDOSO ACEVEDO</t>
  </si>
  <si>
    <t>OPERARIO DE PRODUCCIÓN Y MANTENIMIENTO</t>
  </si>
  <si>
    <t>juliomauricio76@hotmail.com</t>
  </si>
  <si>
    <t>LAURA SANCHEZ CARMONA</t>
  </si>
  <si>
    <t>STAFF COMERCIAL</t>
  </si>
  <si>
    <t>laura081996@hotmail.com</t>
  </si>
  <si>
    <t>LEONARDO FABIO ZAPATA RAMIREZ</t>
  </si>
  <si>
    <t xml:space="preserve">OPERARIO  DE MONTACARGA Y OTROS OFICIOS PRODUCCIÓN </t>
  </si>
  <si>
    <t>leonardofzapata10@gmail.com</t>
  </si>
  <si>
    <t>LEONEL URIBE CORREA</t>
  </si>
  <si>
    <t>OPERARIO INTEGRAL DE LOGÍSTICA Y PRODUCCIÓN</t>
  </si>
  <si>
    <t>uribeleo371@gmail.com</t>
  </si>
  <si>
    <t>LUZ ADRIANA QUICENO HERRERA</t>
  </si>
  <si>
    <t>ASISTENTE COMERCIAL</t>
  </si>
  <si>
    <t>Luz Ennith Álvarez</t>
  </si>
  <si>
    <t>adrianaqh6@gmail.com</t>
  </si>
  <si>
    <t>LUZ ADRIANA ROZO ALVAREZ</t>
  </si>
  <si>
    <t xml:space="preserve">GERENTE GENERAL                                                                                                                                                                                                                                                                                                                                                                                                                                                                                                                                                                                                                                                                                                                   </t>
  </si>
  <si>
    <t>Asamblea Accionistas</t>
  </si>
  <si>
    <t>luzarosso@gmail.com</t>
  </si>
  <si>
    <t>LUZ ENNITH ALVAREZ CARDONA</t>
  </si>
  <si>
    <t>ASESORA COMERCIAL OBRAS Y SERVICIO AL CLIENTE</t>
  </si>
  <si>
    <t>luz.msc@hotmail.com</t>
  </si>
  <si>
    <t>LUZ MERY ARROYAVE VELEZ</t>
  </si>
  <si>
    <t>LIDER DE OPERACIONES INTERNACIONALES</t>
  </si>
  <si>
    <t>luzmarroyave@hotmail.com</t>
  </si>
  <si>
    <t>MARIA CAMILA CARMONA RAMIREZ</t>
  </si>
  <si>
    <t>COORDINADORA ADMINISTRATIVA</t>
  </si>
  <si>
    <t>maria.ca93@hotmail.com</t>
  </si>
  <si>
    <t>MARIA RAQUEL MARTÍNEZ SOLÍS</t>
  </si>
  <si>
    <t>mraquelmartinezsolis@gmail.com</t>
  </si>
  <si>
    <t>OSCAR ANDRES MARTINEZ BALDOVINO</t>
  </si>
  <si>
    <t>oscarabandovino@gmail.com</t>
  </si>
  <si>
    <t>PAULA ANDREA SOTO DIAZ</t>
  </si>
  <si>
    <t>csotodiaz534@gmail.com</t>
  </si>
  <si>
    <t>ROBERTO ARTURO GAVIRIA DIAZ</t>
  </si>
  <si>
    <t>robertogaviria112@gmail.com</t>
  </si>
  <si>
    <t>TATIANA MARCELA SERNA PÉREZ</t>
  </si>
  <si>
    <t>COORDINADORA COMERCIAL</t>
  </si>
  <si>
    <t>Tatianamserna2@gmail.com</t>
  </si>
  <si>
    <t>URIS DEL ROSARIO PADILLA PEREZ</t>
  </si>
  <si>
    <t>urispadillaperez@gmail.com</t>
  </si>
  <si>
    <t>VALENTINA CHALARCA GOMEZ</t>
  </si>
  <si>
    <t>chalarca.valent@outlook.com</t>
  </si>
  <si>
    <t>VANESSA MONSALVE MONSALVE</t>
  </si>
  <si>
    <t>AUXILIAR DE GESTION HUMANA Y SST</t>
  </si>
  <si>
    <t>vanessamm2020@gmail.com</t>
  </si>
  <si>
    <t>Nombre del cargo*</t>
  </si>
  <si>
    <t>Área / Proceso*</t>
  </si>
  <si>
    <t>Objetivo del cargo</t>
  </si>
  <si>
    <t>¿Tiene personal a cargo?*</t>
  </si>
  <si>
    <t>Formación mínima requerida*</t>
  </si>
  <si>
    <t>Título específico esperado</t>
  </si>
  <si>
    <t>Experiencia mínima (meses)</t>
  </si>
  <si>
    <t>Auxiliar de Inventarios</t>
  </si>
  <si>
    <t>Logística e Inventarios</t>
  </si>
  <si>
    <t>Apoyar la gestión y control de inventarios mediante el registro, verificación y organización de los materiales, garantizando la exactitud de la información, la disponibilidad de los recursos y el adecuado manejo de los mismos.</t>
  </si>
  <si>
    <t>No</t>
  </si>
  <si>
    <t>Técnico</t>
  </si>
  <si>
    <t>Técnico en logística, producción o áreas afines</t>
  </si>
  <si>
    <t>12</t>
  </si>
  <si>
    <t>Auxiliar Logístico</t>
  </si>
  <si>
    <t>Garantizar el adecuado control administrativo y operativo de los inventarios mediante el registro oportuno de los movimientos de materiales, la recepción, verificación y entrega de productos, la gestión documental y la coordinación de despachos, asegurando la confiabilidad de la información, la disponibilidad de los inventarios, la atención oportuna a clientes internos y externos, y el cumplimiento de los procedimientos establecidos por la organización.</t>
  </si>
  <si>
    <t>Coordinador de Logística e inventarios</t>
  </si>
  <si>
    <t>Custodiar y organizar el material en la bodega, además de velar porque las instalaciones de la bodega estén en óptimas condiciones, y que el material despachado sea retirado con los estándares de calidad y cantidades correspondientes.</t>
  </si>
  <si>
    <t>Sí</t>
  </si>
  <si>
    <t>Tecnico de Auxiliar Logistico, produccion o afines.</t>
  </si>
  <si>
    <t>Operario Integral de Logística y Producción</t>
  </si>
  <si>
    <t>Ejecutar de manera segura y eficiente las operaciones de cargue, descargue, traslado y ubicación de materiales dentro de la planta mediante el uso del puente grúa, garantizando el cumplimiento de las normas de seguridad industrial y los procedimientos establecidos. Asimismo, brindar apoyo en las actividades operativas de la planta, incluyendo la organización, clasificación e identificación de materiales, el soporte en procesos de producción y despachos, el mantenimiento del orden y aseo en las áreas de trabajo, y la colaboración en tareas logísticas y operativas requeridas para asegurar la continuidad y eficiencia de las operaciones.</t>
  </si>
  <si>
    <t>Bachillerato</t>
  </si>
  <si>
    <t>Bachiller académico</t>
  </si>
  <si>
    <t>Operario de Montacarga y otros oficios de producción</t>
  </si>
  <si>
    <t>Garantizar la movilización, almacenamiento y despacho seguro de materiales dentro de la bodega y área de producción, operando el montacargas de manera eficiente y cumpliendo con las normas de seguridad, procedimientos internos y estándares de calidad. Apoyar el control de inventarios, la organización de la bodega y las actividades logísticas, asegurando la integridad de los materiales, la eficiencia en los procesos y el cumplimiento de las políticas de la empresa.</t>
  </si>
  <si>
    <t>Operario logístico y de inventarios</t>
  </si>
  <si>
    <t>Producción</t>
  </si>
  <si>
    <t>Garantizar la correcta ejecución de los procesos de despacho, mediante la verificación de cantidades, especificaciones y estado del producto frente a la documentación correspondiente, asegurando entregas completas, oportunas y conforme a los requerimientos del cliente. Asimismo, apoyar las operaciones logísticas y de planta, incluyendo cargue, descargue, organización y mantenimiento del orden y aseo, cumpliendo con las políticas internas y normas de seguridad establecidas.</t>
  </si>
  <si>
    <t>Coordinadora de Producción</t>
  </si>
  <si>
    <t>Garantizar la efectividad de los procesos de producción y la calidad de los productos. Realizar de manera efectiva la entrega del producto terminado al cliente y su instalación.</t>
  </si>
  <si>
    <t>Tecnólogo</t>
  </si>
  <si>
    <t>Tecnólogo o Profesional o Ingeniero industrial, Producción, Logística o afines.</t>
  </si>
  <si>
    <t>Asistente de Producción y gestión de contratistas</t>
  </si>
  <si>
    <t>Planear Actividades propias del proceso de producción en la compañia para contribuir al orden y mejoras de resultados del proceso, apoyo al proceso para agilizar el mismo</t>
  </si>
  <si>
    <t>Tecnólogo en areas Administrativas, Logisticas, Industrial.</t>
  </si>
  <si>
    <t>Operario de máquina cortadora y otros oficios de producción</t>
  </si>
  <si>
    <t>Operar la máquina de corte y optimizar el material en su proceso operativo.</t>
  </si>
  <si>
    <t>Operario de Producción Roberto</t>
  </si>
  <si>
    <t>Realizar labores de cargue, descargue de contenedores y material en las instalaciones de la empresa y obras; con el fin de entregar los  productos terminados a nuestros clientes a satisfacción, Además realizar diligencias de mensajería fuera de la empresa cuando sea necesario, y realizar labores de elaboración e instalación de mesones o atender garantías cuando sea necesario.
Mantener el lugar de trabajo que le corresponde, en orden y debidamente aseado para evitar accidentes laborales y formar un entorno agradable.Manejar puente grúa para el traslado del material pesado al lugar que corresponda dentro de la planta de la empresa.</t>
  </si>
  <si>
    <t>Operario de Producción</t>
  </si>
  <si>
    <t>Realizar labores de cargue, descargue de contenedores y material en las instalaciones de la empresa y obras; con el fin de entregar producto terminado a nuestros clientes a satisfacción. 
Mantener el lugar de trabajo que le corresponde, en orden y debidamente aseado para evitar accidentes laborales y formar un entorno agradable.</t>
  </si>
  <si>
    <t>Operario de producción y mantenimiento</t>
  </si>
  <si>
    <t>Ejecutar de manera eficiente y segura las actividades operativas de producción, cargue y descargue, despacho de materiales, mantenimiento locativo básico y organización interna, el adecuado funcionamiento de las instalaciones y el cumplimiento de las normas de calidad, orden, aseo y seguridad industrial de la empresa.</t>
  </si>
  <si>
    <t>Bachiller académico o técnico en soldadura</t>
  </si>
  <si>
    <t>Coordinadora administrativa</t>
  </si>
  <si>
    <t>Administración</t>
  </si>
  <si>
    <t>Desarrollar diferentes actividades administrativas y contables relacionadas con el control de los flujos de caja, pagos, recuperación de cartera, facturación, asegurando el control de los recursos financieros y activos de la compañía</t>
  </si>
  <si>
    <t>Universitario</t>
  </si>
  <si>
    <t xml:space="preserve">Profesional en área Administrativa, tesorería, facturación. </t>
  </si>
  <si>
    <t>Auxiliar Contable</t>
  </si>
  <si>
    <t>Gestionar la información contable garantizando que dicha informacion sea confiable, fidedigna y que permita trazabilidad para la toma de decisiones en el area de contabilidad, llevando a cabo el  análisis de cuentas así como los asientos, ajustes y reclasificaciones requeridos para un adecuado proceso contable, a fin de mantener actualizadas las operaciones de la compañía y verificar su adecuada contabilización.</t>
  </si>
  <si>
    <t>Técnico en auxiliar contable o afines</t>
  </si>
  <si>
    <t>Auxiliar de Servicios Generales</t>
  </si>
  <si>
    <t>Promover 5S en todos las areas de la empresa, procurando que permanezcan  limpios, salubres y confortables al interior y al exterior de las instalaciones, proporcionando calidad de vida a clientes internos y externos.</t>
  </si>
  <si>
    <t>Auxiliar de Talento Humano y SST</t>
  </si>
  <si>
    <t>Talento Humano</t>
  </si>
  <si>
    <t>Brindar apoyo integral a los procesos de Seguridad y Salud en el Trabajo (SG-SST), Talento Humano y gestión administrativa de la organización, ejecutando actividades operativas, documentales y de seguimiento que garanticen el cumplimiento de la normatividad legal vigente, la adecuada administración del personal, la prevención de riesgos laborales, el fortalecimiento de la cultura de seguridad y el mejoramiento continuo de los procesos organizacionales.</t>
  </si>
  <si>
    <t>Técnico en Talento Humano o afines</t>
  </si>
  <si>
    <t>Directora de Desarrollo Organizacional y Talento Humano</t>
  </si>
  <si>
    <t>Liderar, planificar, dirigir y controlar los procesos de Desarrollo Organizacional, Gestión del Talento Humano y Seguridad y Salud en el Trabajo, garantizando su alineación con la estrategia corporativa, el cumplimiento de la normatividad legal vigente y los lineamientos de la Alta Dirección. Asimismo, promover el fortalecimiento de la cultura organizacional, el desarrollo de las competencias del talento humano, la optimización de los procesos, la gestión del cambio, la mejora continua y la toma de decisiones basada en indicadores, contribuyendo al crecimiento, la sostenibilidad y el logro de los objetivos estratégicos de la organización.</t>
  </si>
  <si>
    <t>Técnico o tecnólogo en Talento Humano o afines y en SST</t>
  </si>
  <si>
    <t>Gerente General</t>
  </si>
  <si>
    <t>Desarrollar estrategias orientadas a la consecución de las metas organizacionales a través del ejercicio de la planeación, dirección, verificación y la promoción de acciones que aseguren la  implantación de mejoras continuas. Lo anterior asegurando que las prácticas implantadas giren en torno al cumplimiento de las metas financieras definidas para el negocio.</t>
  </si>
  <si>
    <t>Administracion de Empresas, negocios internacionales, Gerencia de Pymes afines</t>
  </si>
  <si>
    <t>Líder de Operaciones internacionales</t>
  </si>
  <si>
    <t>Planificar, coordinar y supervisar las operaciones internacionales de la organización, garantizando la adecuada gestión de los procesos de importación, el cumplimiento de la normatividad vigente.</t>
  </si>
  <si>
    <t xml:space="preserve"> Profesional en Negocios internacionales, Administración de empresas, Comercio Internacional o Comercio Exterior.</t>
  </si>
  <si>
    <t>Asesora Comercial de obras y servicio al cliente</t>
  </si>
  <si>
    <t>Comercial</t>
  </si>
  <si>
    <t>Lograr las metas establecidas en el presupuesto de ventas de la empresa, motivando al personal a dicho objetivo, además de  velar por los bienes físicos de las diferentes salas de venta logrando así un buen control del área comercial.</t>
  </si>
  <si>
    <t>Profesional en administración de negocios, negocios internacionales, mercadeo, ingeniería industrial o afines.</t>
  </si>
  <si>
    <t>Asesora Comercial</t>
  </si>
  <si>
    <t>Promover el crecimiento de las ventas de la compañía y posicionar constantemente la marca de los productos en el mercado.</t>
  </si>
  <si>
    <t>Tecnico en ventas, atención al cliente, mercadeo, diseño de interiores.</t>
  </si>
  <si>
    <t>Coordinadora Comercial</t>
  </si>
  <si>
    <t>Staff Comercial</t>
  </si>
  <si>
    <t>Permitir la fluidez de los negocios y promover el crecimiento de las ventas de la compañía, posicionando constantemente la marca de los productos en el mercado, desde un rol de apoyo.</t>
  </si>
  <si>
    <t>Tecnico en ventas, atención al cliente, mercadeo, diseño de interiores, auxiliar administrativo</t>
  </si>
  <si>
    <t>Asistente Comercial</t>
  </si>
  <si>
    <t>Nombre completo del colaborador*</t>
  </si>
  <si>
    <t>Tipo*</t>
  </si>
  <si>
    <t>Nombre de la certificación/título*</t>
  </si>
  <si>
    <t>Institución que la emite</t>
  </si>
  <si>
    <t>Fecha de obtención</t>
  </si>
  <si>
    <t>Fecha de vencimiento</t>
  </si>
  <si>
    <t>¿Ya fue verificada por Talento Humano?</t>
  </si>
  <si>
    <t>Daniel Flórez</t>
  </si>
  <si>
    <t>Certificación</t>
  </si>
  <si>
    <t>Trabajo seguro en alturas</t>
  </si>
  <si>
    <t>SENA</t>
  </si>
  <si>
    <t>2025-02-10</t>
  </si>
  <si>
    <t>2026-02-10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</si>
</sst>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mm:ss"/>
  </numFmts>
  <fonts count="26">
    <font>
      <sz val="11"/>
      <color theme="1"/>
      <name val="Calibri"/>
      <charset val="134"/>
      <scheme val="minor"/>
    </font>
    <font>
      <b/>
      <sz val="10"/>
      <color rgb="FFFFFFFF"/>
      <name val="Arial"/>
      <charset val="134"/>
    </font>
    <font>
      <i/>
      <sz val="10"/>
      <color rgb="FF7C3AED"/>
      <name val="Arial"/>
      <charset val="134"/>
    </font>
    <font>
      <b/>
      <sz val="14"/>
      <color rgb="FF3B1876"/>
      <name val="Arial"/>
      <charset val="134"/>
    </font>
    <font>
      <i/>
      <sz val="10"/>
      <color rgb="FF6B6153"/>
      <name val="Arial"/>
      <charset val="134"/>
    </font>
    <font>
      <sz val="10"/>
      <name val="Arial"/>
      <charset val="134"/>
    </font>
    <font>
      <b/>
      <sz val="11"/>
      <color rgb="FF7C3AED"/>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7C3AED"/>
        <bgColor rgb="FF7C3AED"/>
      </patternFill>
    </fill>
    <fill>
      <patternFill patternType="solid">
        <fgColor rgb="FFF5F2FF"/>
        <bgColor rgb="FFF5F2FF"/>
      </patternFill>
    </fill>
    <fill>
      <patternFill patternType="solid">
        <fgColor rgb="FFFFFF00"/>
        <bgColor indexed="64"/>
      </patternFill>
    </fill>
    <fill>
      <patternFill patternType="solid">
        <fgColor rgb="FFFFFF00"/>
        <bgColor rgb="FFF5F2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5CE"/>
      </left>
      <right style="thin">
        <color rgb="FFD9D5CE"/>
      </right>
      <top style="thin">
        <color rgb="FFD9D5CE"/>
      </top>
      <bottom style="thin">
        <color rgb="FFD9D5C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vertical="center" wrapText="1"/>
    </xf>
    <xf numFmtId="0" fontId="2" fillId="3" borderId="0" xfId="0" applyFont="1" applyFill="1"/>
    <xf numFmtId="0" fontId="0" fillId="0" borderId="0" xfId="0" applyAlignment="1">
      <alignment wrapText="1"/>
    </xf>
    <xf numFmtId="0" fontId="2" fillId="3" borderId="0" xfId="0" applyFont="1" applyFill="1" applyAlignment="1">
      <alignment wrapText="1"/>
    </xf>
    <xf numFmtId="0" fontId="0" fillId="4" borderId="0" xfId="0" applyFill="1"/>
    <xf numFmtId="178" fontId="2" fillId="3" borderId="0" xfId="0" applyNumberFormat="1" applyFont="1" applyFill="1"/>
    <xf numFmtId="0" fontId="2" fillId="5" borderId="0" xfId="0" applyFont="1" applyFill="1"/>
    <xf numFmtId="0" fontId="3" fillId="0" borderId="0" xfId="0" applyFont="1"/>
    <xf numFmtId="0" fontId="4" fillId="0" borderId="0" xfId="0" applyFont="1"/>
    <xf numFmtId="0" fontId="5" fillId="0" borderId="0" xfId="0" applyFont="1"/>
    <xf numFmtId="0" fontId="6" fillId="0" borderId="0" xfId="0" applyFont="1"/>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alexarosso77@hotmail.com" TargetMode="External"/><Relationship Id="rId8" Type="http://schemas.openxmlformats.org/officeDocument/2006/relationships/hyperlink" Target="mailto:evelicores@gmail.com" TargetMode="External"/><Relationship Id="rId7" Type="http://schemas.openxmlformats.org/officeDocument/2006/relationships/hyperlink" Target="mailto:fredy1219r@yahoo.com" TargetMode="External"/><Relationship Id="rId6" Type="http://schemas.openxmlformats.org/officeDocument/2006/relationships/hyperlink" Target="mailto:leonardofzapata10@gmail.com" TargetMode="External"/><Relationship Id="rId5" Type="http://schemas.openxmlformats.org/officeDocument/2006/relationships/hyperlink" Target="mailto:jahncarlosflorestoro@gmail.com" TargetMode="External"/><Relationship Id="rId4" Type="http://schemas.openxmlformats.org/officeDocument/2006/relationships/hyperlink" Target="mailto:mraquelmartinezsolis@gmail.com" TargetMode="External"/><Relationship Id="rId3" Type="http://schemas.openxmlformats.org/officeDocument/2006/relationships/hyperlink" Target="mailto:robertogaviria112@gmail.com" TargetMode="External"/><Relationship Id="rId22" Type="http://schemas.openxmlformats.org/officeDocument/2006/relationships/hyperlink" Target="mailto:braynervergara09@gmail.com" TargetMode="External"/><Relationship Id="rId21" Type="http://schemas.openxmlformats.org/officeDocument/2006/relationships/hyperlink" Target="mailto:osoriocordobajose@gmail.com" TargetMode="External"/><Relationship Id="rId20" Type="http://schemas.openxmlformats.org/officeDocument/2006/relationships/hyperlink" Target="mailto:chalarca.valent@outlook.com" TargetMode="External"/><Relationship Id="rId2" Type="http://schemas.openxmlformats.org/officeDocument/2006/relationships/hyperlink" Target="mailto:uribeleo371@gmail.com" TargetMode="External"/><Relationship Id="rId19" Type="http://schemas.openxmlformats.org/officeDocument/2006/relationships/hyperlink" Target="mailto:fray.mercado05@gmail.com" TargetMode="External"/><Relationship Id="rId18" Type="http://schemas.openxmlformats.org/officeDocument/2006/relationships/hyperlink" Target="mailto:derwis.jose25@gmail.com" TargetMode="External"/><Relationship Id="rId17" Type="http://schemas.openxmlformats.org/officeDocument/2006/relationships/hyperlink" Target="mailto:juliomauricio76@hotmail.com" TargetMode="External"/><Relationship Id="rId16" Type="http://schemas.openxmlformats.org/officeDocument/2006/relationships/hyperlink" Target="mailto:laura081996@hotmail.com" TargetMode="External"/><Relationship Id="rId15" Type="http://schemas.openxmlformats.org/officeDocument/2006/relationships/hyperlink" Target="mailto:joseketterer139@gmail.com" TargetMode="External"/><Relationship Id="rId14" Type="http://schemas.openxmlformats.org/officeDocument/2006/relationships/hyperlink" Target="mailto:Tatianamserna2@gmail.com" TargetMode="External"/><Relationship Id="rId13" Type="http://schemas.openxmlformats.org/officeDocument/2006/relationships/hyperlink" Target="mailto:luz.msc@hotmail.com" TargetMode="External"/><Relationship Id="rId12" Type="http://schemas.openxmlformats.org/officeDocument/2006/relationships/hyperlink" Target="mailto:csotodiaz534@gmail.com" TargetMode="External"/><Relationship Id="rId11" Type="http://schemas.openxmlformats.org/officeDocument/2006/relationships/hyperlink" Target="mailto:urispadillaperez@gmail.com" TargetMode="External"/><Relationship Id="rId10" Type="http://schemas.openxmlformats.org/officeDocument/2006/relationships/hyperlink" Target="mailto:17051999cmb@gmail.com" TargetMode="External"/><Relationship Id="rId1" Type="http://schemas.openxmlformats.org/officeDocument/2006/relationships/hyperlink" Target="mailto:vanessamm2020@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30"/>
  <sheetViews>
    <sheetView showGridLines="0" workbookViewId="0">
      <selection activeCell="A1" sqref="A1"/>
    </sheetView>
  </sheetViews>
  <sheetFormatPr defaultColWidth="9" defaultRowHeight="15" outlineLevelCol="1"/>
  <cols>
    <col min="1" max="1" width="3" customWidth="1"/>
    <col min="2" max="2" width="95" customWidth="1"/>
  </cols>
  <sheetData>
    <row r="2" ht="18" spans="2:2">
      <c r="B2" s="8" t="s">
        <v>0</v>
      </c>
    </row>
    <row r="3" spans="2:2">
      <c r="B3" s="9" t="s">
        <v>1</v>
      </c>
    </row>
    <row r="5" spans="2:2">
      <c r="B5" s="10" t="s">
        <v>2</v>
      </c>
    </row>
    <row r="6" spans="2:2">
      <c r="B6" s="10" t="s">
        <v>3</v>
      </c>
    </row>
    <row r="7" spans="2:2">
      <c r="B7" s="10" t="s">
        <v>2</v>
      </c>
    </row>
    <row r="8" spans="2:2">
      <c r="B8" s="10" t="s">
        <v>4</v>
      </c>
    </row>
    <row r="9" spans="2:2">
      <c r="B9" s="10" t="s">
        <v>5</v>
      </c>
    </row>
    <row r="10" spans="2:2">
      <c r="B10" s="10" t="s">
        <v>6</v>
      </c>
    </row>
    <row r="11" spans="2:2">
      <c r="B11" s="10" t="s">
        <v>2</v>
      </c>
    </row>
    <row r="12" spans="2:2">
      <c r="B12" s="11" t="s">
        <v>7</v>
      </c>
    </row>
    <row r="13" spans="2:2">
      <c r="B13" s="10" t="s">
        <v>8</v>
      </c>
    </row>
    <row r="14" spans="2:2">
      <c r="B14" s="10" t="s">
        <v>9</v>
      </c>
    </row>
    <row r="15" spans="2:2">
      <c r="B15" s="10" t="s">
        <v>2</v>
      </c>
    </row>
    <row r="16" spans="2:2">
      <c r="B16" s="11" t="s">
        <v>10</v>
      </c>
    </row>
    <row r="17" spans="2:2">
      <c r="B17" s="10" t="s">
        <v>11</v>
      </c>
    </row>
    <row r="18" spans="2:2">
      <c r="B18" s="10" t="s">
        <v>12</v>
      </c>
    </row>
    <row r="19" spans="2:2">
      <c r="B19" s="10" t="s">
        <v>2</v>
      </c>
    </row>
    <row r="20" spans="2:2">
      <c r="B20" s="11" t="s">
        <v>13</v>
      </c>
    </row>
    <row r="21" spans="2:2">
      <c r="B21" s="10" t="s">
        <v>14</v>
      </c>
    </row>
    <row r="22" spans="2:2">
      <c r="B22" s="10" t="s">
        <v>15</v>
      </c>
    </row>
    <row r="23" spans="2:2">
      <c r="B23" s="10" t="s">
        <v>16</v>
      </c>
    </row>
    <row r="24" spans="2:2">
      <c r="B24" s="10" t="s">
        <v>2</v>
      </c>
    </row>
    <row r="25" spans="2:2">
      <c r="B25" s="10" t="s">
        <v>17</v>
      </c>
    </row>
    <row r="26" spans="2:2">
      <c r="B26" s="10" t="s">
        <v>18</v>
      </c>
    </row>
    <row r="27" spans="2:2">
      <c r="B27" s="10" t="s">
        <v>2</v>
      </c>
    </row>
    <row r="28" spans="2:2">
      <c r="B28" s="10" t="s">
        <v>19</v>
      </c>
    </row>
    <row r="29" spans="2:2">
      <c r="B29" s="10" t="s">
        <v>20</v>
      </c>
    </row>
    <row r="30" spans="2:2">
      <c r="B30" s="10"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7"/>
  <sheetViews>
    <sheetView topLeftCell="C1" workbookViewId="0">
      <pane ySplit="1" topLeftCell="A18" activePane="bottomLeft" state="frozen"/>
      <selection/>
      <selection pane="bottomLeft" activeCell="D34" sqref="D34"/>
    </sheetView>
  </sheetViews>
  <sheetFormatPr defaultColWidth="9" defaultRowHeight="15"/>
  <cols>
    <col min="1" max="1" width="29.7142857142857" customWidth="1"/>
    <col min="2" max="2" width="16" customWidth="1"/>
    <col min="3" max="3" width="30" customWidth="1"/>
    <col min="4" max="4" width="20" customWidth="1"/>
    <col min="5" max="5" width="22" customWidth="1"/>
    <col min="6" max="6" width="30" customWidth="1"/>
    <col min="7" max="7" width="14" customWidth="1"/>
    <col min="8" max="8" width="21.8571428571429" customWidth="1"/>
    <col min="9" max="9" width="16" customWidth="1"/>
    <col min="10" max="10" width="20" customWidth="1"/>
    <col min="11" max="11" width="16" customWidth="1"/>
  </cols>
  <sheetData>
    <row r="1" ht="25.5" spans="1:12">
      <c r="A1" s="1" t="s">
        <v>22</v>
      </c>
      <c r="B1" s="1" t="s">
        <v>23</v>
      </c>
      <c r="C1" s="1" t="s">
        <v>24</v>
      </c>
      <c r="D1" s="1" t="s">
        <v>25</v>
      </c>
      <c r="E1" s="1" t="s">
        <v>26</v>
      </c>
      <c r="F1" s="1" t="s">
        <v>27</v>
      </c>
      <c r="G1" s="1" t="s">
        <v>28</v>
      </c>
      <c r="H1" s="1" t="s">
        <v>29</v>
      </c>
      <c r="I1" s="1" t="s">
        <v>30</v>
      </c>
      <c r="J1" s="1" t="s">
        <v>31</v>
      </c>
      <c r="K1" s="1" t="s">
        <v>32</v>
      </c>
    </row>
    <row r="2" spans="1:12">
      <c r="A2" s="2" t="s">
        <v>33</v>
      </c>
      <c r="B2" s="2">
        <v>1005574215</v>
      </c>
      <c r="C2" s="2" t="s">
        <v>34</v>
      </c>
      <c r="D2" s="2" t="s">
        <v>35</v>
      </c>
      <c r="E2" s="2" t="s">
        <v>36</v>
      </c>
      <c r="F2" s="2" t="s">
        <v>37</v>
      </c>
      <c r="G2" s="2">
        <v>3042788493</v>
      </c>
      <c r="H2" s="6">
        <v>46176</v>
      </c>
      <c r="I2" s="2" t="s">
        <v>38</v>
      </c>
      <c r="J2" s="2"/>
      <c r="K2" s="2" t="s">
        <v>39</v>
      </c>
    </row>
    <row r="3" spans="1:12">
      <c r="A3" s="2" t="s">
        <v>40</v>
      </c>
      <c r="B3" s="2">
        <v>1005659996</v>
      </c>
      <c r="C3" s="2" t="s">
        <v>34</v>
      </c>
      <c r="D3" s="2" t="s">
        <v>35</v>
      </c>
      <c r="E3" s="2" t="s">
        <v>36</v>
      </c>
      <c r="F3" s="2" t="s">
        <v>41</v>
      </c>
      <c r="G3" s="2">
        <v>3104879430</v>
      </c>
      <c r="H3" s="6">
        <v>45979</v>
      </c>
      <c r="I3" s="2" t="s">
        <v>38</v>
      </c>
      <c r="K3" t="s">
        <v>39</v>
      </c>
    </row>
    <row r="4" spans="1:12">
      <c r="A4" s="2" t="s">
        <v>42</v>
      </c>
      <c r="B4" s="2">
        <v>43650217</v>
      </c>
      <c r="C4" s="2" t="s">
        <v>43</v>
      </c>
      <c r="D4" s="2" t="s">
        <v>44</v>
      </c>
      <c r="E4" s="2" t="s">
        <v>45</v>
      </c>
      <c r="F4" s="2" t="s">
        <v>46</v>
      </c>
      <c r="G4" s="2">
        <v>3043902211</v>
      </c>
      <c r="H4" s="6">
        <v>45027</v>
      </c>
      <c r="I4" s="2" t="s">
        <v>47</v>
      </c>
      <c r="J4" t="s">
        <v>48</v>
      </c>
      <c r="K4" t="s">
        <v>39</v>
      </c>
    </row>
    <row r="5" spans="1:12">
      <c r="A5" s="2" t="s">
        <v>49</v>
      </c>
      <c r="B5" s="2">
        <v>43250656</v>
      </c>
      <c r="C5" s="2" t="s">
        <v>43</v>
      </c>
      <c r="D5" s="2" t="s">
        <v>44</v>
      </c>
      <c r="E5" s="2" t="s">
        <v>45</v>
      </c>
      <c r="F5" s="2" t="s">
        <v>50</v>
      </c>
      <c r="G5" s="2">
        <v>3108341536</v>
      </c>
      <c r="H5" s="6">
        <v>46097</v>
      </c>
      <c r="I5" s="2" t="s">
        <v>38</v>
      </c>
      <c r="K5" t="s">
        <v>39</v>
      </c>
    </row>
    <row r="6" spans="1:12">
      <c r="A6" s="2" t="s">
        <v>51</v>
      </c>
      <c r="B6" s="2">
        <v>1143145945</v>
      </c>
      <c r="C6" s="2" t="s">
        <v>52</v>
      </c>
      <c r="D6" s="2" t="s">
        <v>53</v>
      </c>
      <c r="E6" s="2" t="s">
        <v>54</v>
      </c>
      <c r="F6" s="2" t="s">
        <v>55</v>
      </c>
      <c r="G6" s="2">
        <v>3015380871</v>
      </c>
      <c r="H6" s="6">
        <v>45454</v>
      </c>
      <c r="I6" s="2" t="s">
        <v>47</v>
      </c>
      <c r="J6" t="s">
        <v>48</v>
      </c>
      <c r="K6" t="s">
        <v>39</v>
      </c>
    </row>
    <row r="7" spans="1:12">
      <c r="A7" s="2" t="s">
        <v>56</v>
      </c>
      <c r="B7" s="2" t="s">
        <v>57</v>
      </c>
      <c r="C7" s="2" t="s">
        <v>34</v>
      </c>
      <c r="D7" s="2" t="s">
        <v>35</v>
      </c>
      <c r="E7" s="2" t="s">
        <v>36</v>
      </c>
      <c r="F7" s="2" t="s">
        <v>58</v>
      </c>
      <c r="G7" s="2">
        <v>3234016370</v>
      </c>
      <c r="H7" s="6">
        <v>46146</v>
      </c>
      <c r="I7" s="2" t="s">
        <v>38</v>
      </c>
      <c r="K7" t="s">
        <v>39</v>
      </c>
    </row>
    <row r="8" spans="1:12">
      <c r="A8" s="2" t="s">
        <v>59</v>
      </c>
      <c r="B8" s="2">
        <v>43992923</v>
      </c>
      <c r="C8" s="2" t="s">
        <v>43</v>
      </c>
      <c r="D8" s="2" t="s">
        <v>44</v>
      </c>
      <c r="E8" s="2" t="s">
        <v>45</v>
      </c>
      <c r="F8" s="2" t="s">
        <v>60</v>
      </c>
      <c r="G8" s="2">
        <v>3007048014</v>
      </c>
      <c r="H8" s="6">
        <v>45306</v>
      </c>
      <c r="I8" s="2" t="s">
        <v>47</v>
      </c>
      <c r="J8" t="s">
        <v>48</v>
      </c>
      <c r="K8" t="s">
        <v>39</v>
      </c>
    </row>
    <row r="9" spans="1:12">
      <c r="A9" s="2" t="s">
        <v>61</v>
      </c>
      <c r="B9" s="2">
        <v>21424594</v>
      </c>
      <c r="C9" s="2" t="s">
        <v>62</v>
      </c>
      <c r="D9" s="2" t="s">
        <v>35</v>
      </c>
      <c r="E9" s="2" t="s">
        <v>63</v>
      </c>
      <c r="F9" s="2" t="s">
        <v>64</v>
      </c>
      <c r="G9" s="2">
        <v>3105039514</v>
      </c>
      <c r="H9" s="6">
        <v>45909</v>
      </c>
      <c r="I9" s="2" t="s">
        <v>47</v>
      </c>
      <c r="J9" t="s">
        <v>48</v>
      </c>
      <c r="K9" t="s">
        <v>39</v>
      </c>
    </row>
    <row r="10" s="5" customFormat="1" spans="1:12">
      <c r="A10" s="7" t="s">
        <v>65</v>
      </c>
      <c r="B10" s="2">
        <v>40691518</v>
      </c>
      <c r="C10" s="2" t="s">
        <v>66</v>
      </c>
      <c r="D10" s="2" t="s">
        <v>67</v>
      </c>
      <c r="E10" s="2" t="s">
        <v>68</v>
      </c>
      <c r="F10" s="7" t="s">
        <v>69</v>
      </c>
      <c r="G10" s="2" t="s">
        <v>70</v>
      </c>
      <c r="H10" s="6">
        <v>45348</v>
      </c>
      <c r="I10" s="2" t="s">
        <v>38</v>
      </c>
      <c r="K10" s="5" t="s">
        <v>39</v>
      </c>
      <c r="L10" s="5" t="s">
        <v>71</v>
      </c>
    </row>
    <row r="11" spans="1:12">
      <c r="A11" s="2" t="s">
        <v>72</v>
      </c>
      <c r="B11" s="2">
        <v>1001481172</v>
      </c>
      <c r="C11" s="2" t="s">
        <v>73</v>
      </c>
      <c r="D11" s="2" t="s">
        <v>35</v>
      </c>
      <c r="E11" s="2" t="s">
        <v>36</v>
      </c>
      <c r="F11" s="2" t="s">
        <v>74</v>
      </c>
      <c r="G11" s="2">
        <v>3108365442</v>
      </c>
      <c r="H11" s="6">
        <v>45936</v>
      </c>
      <c r="I11" s="2" t="s">
        <v>38</v>
      </c>
      <c r="K11" t="s">
        <v>39</v>
      </c>
    </row>
    <row r="12" spans="1:12">
      <c r="A12" s="2" t="s">
        <v>75</v>
      </c>
      <c r="B12" s="2">
        <v>1102887942</v>
      </c>
      <c r="C12" s="2" t="s">
        <v>76</v>
      </c>
      <c r="D12" s="2" t="s">
        <v>53</v>
      </c>
      <c r="E12" s="2" t="s">
        <v>54</v>
      </c>
      <c r="F12" s="2" t="s">
        <v>77</v>
      </c>
      <c r="G12" s="2">
        <v>3014862004</v>
      </c>
      <c r="H12" s="6">
        <v>46146</v>
      </c>
      <c r="I12" s="2" t="s">
        <v>38</v>
      </c>
      <c r="K12" t="s">
        <v>39</v>
      </c>
    </row>
    <row r="13" spans="1:12">
      <c r="A13" s="2" t="s">
        <v>78</v>
      </c>
      <c r="B13" s="2">
        <v>1006219304</v>
      </c>
      <c r="C13" s="2" t="s">
        <v>79</v>
      </c>
      <c r="D13" s="2" t="s">
        <v>53</v>
      </c>
      <c r="E13" s="2" t="s">
        <v>54</v>
      </c>
      <c r="F13" s="2" t="s">
        <v>80</v>
      </c>
      <c r="G13" s="2">
        <v>3153029034</v>
      </c>
      <c r="H13" s="6">
        <v>45873</v>
      </c>
      <c r="I13" s="2" t="s">
        <v>38</v>
      </c>
      <c r="K13" t="s">
        <v>39</v>
      </c>
    </row>
    <row r="14" spans="1:12">
      <c r="A14" s="2" t="s">
        <v>81</v>
      </c>
      <c r="B14" s="2">
        <v>1028015621</v>
      </c>
      <c r="C14" s="2" t="s">
        <v>82</v>
      </c>
      <c r="D14" s="2" t="s">
        <v>35</v>
      </c>
      <c r="E14" s="2" t="s">
        <v>36</v>
      </c>
      <c r="F14" s="2" t="s">
        <v>83</v>
      </c>
      <c r="G14" s="2">
        <v>3024622163</v>
      </c>
      <c r="H14" s="6">
        <v>46055</v>
      </c>
      <c r="I14" s="2" t="s">
        <v>38</v>
      </c>
      <c r="K14" t="s">
        <v>39</v>
      </c>
    </row>
    <row r="15" spans="1:12">
      <c r="A15" s="2" t="s">
        <v>84</v>
      </c>
      <c r="B15" s="2">
        <v>6504011</v>
      </c>
      <c r="C15" s="2" t="s">
        <v>34</v>
      </c>
      <c r="D15" s="2" t="s">
        <v>35</v>
      </c>
      <c r="E15" s="2" t="s">
        <v>36</v>
      </c>
      <c r="F15" s="2" t="s">
        <v>85</v>
      </c>
      <c r="G15" s="2">
        <v>3153347488</v>
      </c>
      <c r="H15" s="6">
        <v>45922</v>
      </c>
      <c r="I15" s="2" t="s">
        <v>38</v>
      </c>
      <c r="K15" t="s">
        <v>39</v>
      </c>
    </row>
    <row r="16" spans="1:12">
      <c r="A16" s="2" t="s">
        <v>86</v>
      </c>
      <c r="B16" s="2">
        <v>1053792191</v>
      </c>
      <c r="C16" s="2" t="s">
        <v>87</v>
      </c>
      <c r="D16" s="2" t="s">
        <v>88</v>
      </c>
      <c r="E16" s="2" t="s">
        <v>63</v>
      </c>
      <c r="F16" s="2" t="s">
        <v>89</v>
      </c>
      <c r="G16" s="2">
        <v>3116027666</v>
      </c>
      <c r="H16" s="6">
        <v>40909</v>
      </c>
      <c r="I16" s="2" t="s">
        <v>47</v>
      </c>
      <c r="J16" t="s">
        <v>48</v>
      </c>
      <c r="K16" t="s">
        <v>39</v>
      </c>
    </row>
    <row r="17" spans="1:11">
      <c r="A17" s="2" t="s">
        <v>90</v>
      </c>
      <c r="B17" s="2">
        <v>15458611</v>
      </c>
      <c r="C17" s="2" t="s">
        <v>91</v>
      </c>
      <c r="D17" s="2" t="s">
        <v>35</v>
      </c>
      <c r="E17" s="2" t="s">
        <v>63</v>
      </c>
      <c r="F17" s="2" t="s">
        <v>92</v>
      </c>
      <c r="G17" s="2">
        <v>3016118117</v>
      </c>
      <c r="H17" s="6">
        <v>44593</v>
      </c>
      <c r="I17" s="2" t="s">
        <v>47</v>
      </c>
      <c r="J17" t="s">
        <v>48</v>
      </c>
      <c r="K17" t="s">
        <v>39</v>
      </c>
    </row>
    <row r="18" spans="1:11">
      <c r="A18" s="2" t="s">
        <v>93</v>
      </c>
      <c r="B18" s="2">
        <v>3311356</v>
      </c>
      <c r="C18" s="2" t="s">
        <v>82</v>
      </c>
      <c r="D18" s="2" t="s">
        <v>35</v>
      </c>
      <c r="E18" s="2" t="s">
        <v>36</v>
      </c>
      <c r="F18" s="2" t="s">
        <v>94</v>
      </c>
      <c r="G18" s="2">
        <v>3236747390</v>
      </c>
      <c r="H18" s="6">
        <v>45355</v>
      </c>
      <c r="I18" s="2" t="s">
        <v>47</v>
      </c>
      <c r="J18" t="s">
        <v>48</v>
      </c>
      <c r="K18" t="s">
        <v>39</v>
      </c>
    </row>
    <row r="19" spans="1:11">
      <c r="A19" s="2" t="s">
        <v>95</v>
      </c>
      <c r="B19" s="2">
        <v>1000871347</v>
      </c>
      <c r="C19" s="2" t="s">
        <v>34</v>
      </c>
      <c r="D19" s="2" t="s">
        <v>35</v>
      </c>
      <c r="E19" s="2" t="s">
        <v>36</v>
      </c>
      <c r="F19" s="2" t="s">
        <v>96</v>
      </c>
      <c r="G19" s="2">
        <v>3170912318</v>
      </c>
      <c r="H19" s="6">
        <v>45880</v>
      </c>
      <c r="I19" s="2" t="s">
        <v>47</v>
      </c>
      <c r="J19" t="s">
        <v>48</v>
      </c>
      <c r="K19" t="s">
        <v>39</v>
      </c>
    </row>
    <row r="20" spans="1:11">
      <c r="A20" s="2" t="s">
        <v>97</v>
      </c>
      <c r="B20" s="2">
        <v>1152695644</v>
      </c>
      <c r="C20" s="2" t="s">
        <v>98</v>
      </c>
      <c r="D20" s="2" t="s">
        <v>35</v>
      </c>
      <c r="E20" s="2" t="s">
        <v>36</v>
      </c>
      <c r="F20" s="2" t="s">
        <v>99</v>
      </c>
      <c r="G20" s="2">
        <v>3017682239</v>
      </c>
      <c r="H20" s="6">
        <v>46084</v>
      </c>
      <c r="I20" s="2" t="s">
        <v>38</v>
      </c>
      <c r="K20" t="s">
        <v>39</v>
      </c>
    </row>
    <row r="21" spans="1:11">
      <c r="A21" s="2" t="s">
        <v>100</v>
      </c>
      <c r="B21" s="2">
        <v>1017237459</v>
      </c>
      <c r="C21" s="2" t="s">
        <v>101</v>
      </c>
      <c r="D21" s="2" t="s">
        <v>44</v>
      </c>
      <c r="E21" s="2" t="s">
        <v>45</v>
      </c>
      <c r="F21" s="2" t="s">
        <v>102</v>
      </c>
      <c r="G21" s="2">
        <v>3217573235</v>
      </c>
      <c r="H21" s="6">
        <v>46083</v>
      </c>
      <c r="I21" s="2" t="s">
        <v>38</v>
      </c>
      <c r="K21" t="s">
        <v>39</v>
      </c>
    </row>
    <row r="22" spans="1:11">
      <c r="A22" s="2" t="s">
        <v>103</v>
      </c>
      <c r="B22" s="2">
        <v>71367808</v>
      </c>
      <c r="C22" s="2" t="s">
        <v>104</v>
      </c>
      <c r="D22" s="2" t="s">
        <v>53</v>
      </c>
      <c r="E22" s="2" t="s">
        <v>54</v>
      </c>
      <c r="F22" s="2" t="s">
        <v>105</v>
      </c>
      <c r="G22" s="2">
        <v>3206363029</v>
      </c>
      <c r="H22" s="6">
        <v>43871</v>
      </c>
      <c r="I22" s="2" t="s">
        <v>47</v>
      </c>
      <c r="J22" t="s">
        <v>48</v>
      </c>
      <c r="K22" t="s">
        <v>39</v>
      </c>
    </row>
    <row r="23" spans="1:11">
      <c r="A23" s="2" t="s">
        <v>106</v>
      </c>
      <c r="B23" s="2">
        <v>1017134301</v>
      </c>
      <c r="C23" s="2" t="s">
        <v>107</v>
      </c>
      <c r="D23" s="2" t="s">
        <v>53</v>
      </c>
      <c r="E23" s="2" t="s">
        <v>54</v>
      </c>
      <c r="F23" s="2" t="s">
        <v>108</v>
      </c>
      <c r="G23" s="2">
        <v>3145739424</v>
      </c>
      <c r="H23" s="6">
        <v>45670</v>
      </c>
      <c r="I23" s="2" t="s">
        <v>47</v>
      </c>
      <c r="J23" t="s">
        <v>48</v>
      </c>
      <c r="K23" t="s">
        <v>39</v>
      </c>
    </row>
    <row r="24" spans="1:11">
      <c r="A24" s="2" t="s">
        <v>109</v>
      </c>
      <c r="B24" s="2">
        <v>43568787</v>
      </c>
      <c r="C24" s="2" t="s">
        <v>110</v>
      </c>
      <c r="D24" s="2" t="s">
        <v>44</v>
      </c>
      <c r="E24" s="2" t="s">
        <v>111</v>
      </c>
      <c r="F24" s="2" t="s">
        <v>112</v>
      </c>
      <c r="G24" s="2">
        <v>3147469200</v>
      </c>
      <c r="H24" s="6">
        <v>45173</v>
      </c>
      <c r="I24" s="2" t="s">
        <v>38</v>
      </c>
      <c r="K24" t="s">
        <v>39</v>
      </c>
    </row>
    <row r="25" spans="1:11">
      <c r="A25" s="2" t="s">
        <v>113</v>
      </c>
      <c r="B25" s="2">
        <v>1036935985</v>
      </c>
      <c r="C25" s="2" t="s">
        <v>114</v>
      </c>
      <c r="D25" s="2" t="s">
        <v>67</v>
      </c>
      <c r="E25" s="2" t="s">
        <v>115</v>
      </c>
      <c r="F25" s="2" t="s">
        <v>116</v>
      </c>
      <c r="G25" s="2">
        <v>3207269441</v>
      </c>
      <c r="H25" s="6">
        <v>40909</v>
      </c>
      <c r="I25" s="2" t="s">
        <v>47</v>
      </c>
      <c r="J25" t="s">
        <v>48</v>
      </c>
      <c r="K25" t="s">
        <v>39</v>
      </c>
    </row>
    <row r="26" spans="1:11">
      <c r="A26" s="2" t="s">
        <v>117</v>
      </c>
      <c r="B26" s="2">
        <v>39435892</v>
      </c>
      <c r="C26" s="2" t="s">
        <v>118</v>
      </c>
      <c r="D26" s="2" t="s">
        <v>44</v>
      </c>
      <c r="E26" s="2" t="s">
        <v>63</v>
      </c>
      <c r="F26" s="2" t="s">
        <v>119</v>
      </c>
      <c r="G26" s="2">
        <v>3136519927</v>
      </c>
      <c r="H26" s="6">
        <v>43880</v>
      </c>
      <c r="I26" s="2" t="s">
        <v>47</v>
      </c>
      <c r="J26" t="s">
        <v>48</v>
      </c>
      <c r="K26" t="s">
        <v>39</v>
      </c>
    </row>
    <row r="27" spans="1:11">
      <c r="A27" s="2" t="s">
        <v>120</v>
      </c>
      <c r="B27" s="2">
        <v>42780211</v>
      </c>
      <c r="C27" s="2" t="s">
        <v>121</v>
      </c>
      <c r="D27" s="2" t="s">
        <v>67</v>
      </c>
      <c r="E27" s="2" t="s">
        <v>63</v>
      </c>
      <c r="F27" s="2" t="s">
        <v>122</v>
      </c>
      <c r="G27" s="2">
        <v>3136554556</v>
      </c>
      <c r="H27" s="6">
        <v>40909</v>
      </c>
      <c r="I27" s="2" t="s">
        <v>47</v>
      </c>
      <c r="J27" t="s">
        <v>48</v>
      </c>
      <c r="K27" t="s">
        <v>39</v>
      </c>
    </row>
    <row r="28" spans="1:11">
      <c r="A28" s="2" t="s">
        <v>123</v>
      </c>
      <c r="B28" s="2">
        <v>1214719412</v>
      </c>
      <c r="C28" s="2" t="s">
        <v>124</v>
      </c>
      <c r="D28" s="2" t="s">
        <v>67</v>
      </c>
      <c r="E28" s="2" t="s">
        <v>63</v>
      </c>
      <c r="F28" s="2" t="s">
        <v>125</v>
      </c>
      <c r="G28" s="2">
        <v>3108212230</v>
      </c>
      <c r="H28" s="6">
        <v>44669</v>
      </c>
      <c r="I28" s="2" t="s">
        <v>47</v>
      </c>
      <c r="J28" t="s">
        <v>48</v>
      </c>
      <c r="K28" t="s">
        <v>39</v>
      </c>
    </row>
    <row r="29" spans="1:11">
      <c r="A29" s="2" t="s">
        <v>126</v>
      </c>
      <c r="B29" s="2">
        <v>1000394066</v>
      </c>
      <c r="C29" s="2" t="s">
        <v>43</v>
      </c>
      <c r="D29" s="2" t="s">
        <v>44</v>
      </c>
      <c r="E29" s="2" t="s">
        <v>45</v>
      </c>
      <c r="F29" s="2" t="s">
        <v>127</v>
      </c>
      <c r="G29" s="2">
        <v>3024450446</v>
      </c>
      <c r="H29" s="6">
        <v>45909</v>
      </c>
      <c r="I29" s="2" t="s">
        <v>38</v>
      </c>
      <c r="K29" t="s">
        <v>39</v>
      </c>
    </row>
    <row r="30" spans="1:11">
      <c r="A30" s="2" t="s">
        <v>128</v>
      </c>
      <c r="B30" s="2">
        <v>1017149621</v>
      </c>
      <c r="C30" s="2" t="s">
        <v>82</v>
      </c>
      <c r="D30" s="2" t="s">
        <v>35</v>
      </c>
      <c r="E30" s="2" t="s">
        <v>36</v>
      </c>
      <c r="F30" s="2" t="s">
        <v>129</v>
      </c>
      <c r="G30" s="2">
        <v>3122283056</v>
      </c>
      <c r="H30" s="6">
        <v>45670</v>
      </c>
      <c r="I30" s="2" t="s">
        <v>38</v>
      </c>
      <c r="K30" t="s">
        <v>39</v>
      </c>
    </row>
    <row r="31" spans="1:11">
      <c r="A31" s="2" t="s">
        <v>130</v>
      </c>
      <c r="B31" s="2">
        <v>1007584719</v>
      </c>
      <c r="C31" s="2" t="s">
        <v>43</v>
      </c>
      <c r="D31" s="2" t="s">
        <v>44</v>
      </c>
      <c r="E31" s="2" t="s">
        <v>45</v>
      </c>
      <c r="F31" s="2" t="s">
        <v>131</v>
      </c>
      <c r="G31" s="2">
        <v>3137762011</v>
      </c>
      <c r="H31" s="6">
        <v>46036</v>
      </c>
      <c r="I31" s="2" t="s">
        <v>38</v>
      </c>
      <c r="K31" t="s">
        <v>39</v>
      </c>
    </row>
    <row r="32" spans="1:11">
      <c r="A32" s="2" t="s">
        <v>132</v>
      </c>
      <c r="B32" s="2">
        <v>71721340</v>
      </c>
      <c r="C32" s="2" t="s">
        <v>34</v>
      </c>
      <c r="D32" s="2" t="s">
        <v>35</v>
      </c>
      <c r="E32" s="2" t="s">
        <v>36</v>
      </c>
      <c r="F32" s="2" t="s">
        <v>133</v>
      </c>
      <c r="G32" s="2">
        <v>3136748288</v>
      </c>
      <c r="H32" s="6">
        <v>45670</v>
      </c>
      <c r="I32" s="2" t="s">
        <v>47</v>
      </c>
      <c r="J32" t="s">
        <v>48</v>
      </c>
      <c r="K32" t="s">
        <v>39</v>
      </c>
    </row>
    <row r="33" spans="1:11">
      <c r="A33" s="2" t="s">
        <v>134</v>
      </c>
      <c r="B33" s="2">
        <v>1128274806</v>
      </c>
      <c r="C33" s="2" t="s">
        <v>135</v>
      </c>
      <c r="D33" s="2" t="s">
        <v>44</v>
      </c>
      <c r="E33" s="2" t="s">
        <v>63</v>
      </c>
      <c r="F33" s="2" t="s">
        <v>136</v>
      </c>
      <c r="G33" s="2">
        <v>3508319655</v>
      </c>
      <c r="H33" s="6">
        <v>46076</v>
      </c>
      <c r="I33" s="2" t="s">
        <v>47</v>
      </c>
      <c r="J33" t="s">
        <v>48</v>
      </c>
      <c r="K33" t="s">
        <v>39</v>
      </c>
    </row>
    <row r="34" spans="1:11">
      <c r="A34" s="2" t="s">
        <v>137</v>
      </c>
      <c r="B34" s="2">
        <v>30576584</v>
      </c>
      <c r="C34" s="2" t="s">
        <v>66</v>
      </c>
      <c r="D34" s="2" t="s">
        <v>67</v>
      </c>
      <c r="E34" s="2" t="s">
        <v>68</v>
      </c>
      <c r="F34" s="2" t="s">
        <v>138</v>
      </c>
      <c r="G34" s="2">
        <v>3004931768</v>
      </c>
      <c r="H34" s="6">
        <v>46028</v>
      </c>
      <c r="I34" s="2" t="s">
        <v>38</v>
      </c>
      <c r="K34" t="s">
        <v>39</v>
      </c>
    </row>
    <row r="35" spans="1:11">
      <c r="A35" s="2" t="s">
        <v>139</v>
      </c>
      <c r="B35" s="2">
        <v>1152715517</v>
      </c>
      <c r="C35" s="2" t="s">
        <v>43</v>
      </c>
      <c r="D35" s="2" t="s">
        <v>44</v>
      </c>
      <c r="E35" s="2" t="s">
        <v>45</v>
      </c>
      <c r="F35" s="2" t="s">
        <v>140</v>
      </c>
      <c r="G35" s="2">
        <v>3002894596</v>
      </c>
      <c r="H35" s="6">
        <v>46161</v>
      </c>
      <c r="I35" s="2" t="s">
        <v>38</v>
      </c>
      <c r="K35" t="s">
        <v>39</v>
      </c>
    </row>
    <row r="36" spans="1:11">
      <c r="A36" s="2" t="s">
        <v>141</v>
      </c>
      <c r="B36" s="2">
        <v>1000204081</v>
      </c>
      <c r="C36" s="2" t="s">
        <v>142</v>
      </c>
      <c r="D36" s="2" t="s">
        <v>88</v>
      </c>
      <c r="E36" s="2" t="s">
        <v>68</v>
      </c>
      <c r="F36" s="2" t="s">
        <v>143</v>
      </c>
      <c r="G36" s="2">
        <v>3044175062</v>
      </c>
      <c r="H36" s="6">
        <v>45516</v>
      </c>
      <c r="I36" s="2" t="s">
        <v>47</v>
      </c>
      <c r="J36" t="s">
        <v>48</v>
      </c>
      <c r="K36" t="s">
        <v>39</v>
      </c>
    </row>
    <row r="37" spans="1:11">
      <c r="G37" s="2"/>
    </row>
  </sheetData>
  <dataValidations count="2">
    <dataValidation type="list" allowBlank="1" sqref="I2:I488">
      <formula1>"Indefinido,Fijo,Obra o labor,Prestación de servicios,Aprendizaje,Externo"</formula1>
    </dataValidation>
    <dataValidation type="list" allowBlank="1" sqref="K2:K488">
      <formula1>"Activo,Inactivo,En proceso de salida,Periodo de prueba"</formula1>
    </dataValidation>
  </dataValidations>
  <hyperlinks>
    <hyperlink ref="F36" r:id="rId1" display="vanessamm2020@gmail.com"/>
    <hyperlink ref="F23" r:id="rId2" display="uribeleo371@gmail.com"/>
    <hyperlink ref="F32" r:id="rId3" display="robertogaviria112@gmail.com"/>
    <hyperlink ref="F29" r:id="rId4" display="mraquelmartinezsolis@gmail.com"/>
    <hyperlink ref="F15" r:id="rId5" display="jahncarlosflorestoro@gmail.com "/>
    <hyperlink ref="F22" r:id="rId6" display="leonardofzapata10@gmail.com"/>
    <hyperlink ref="F17" r:id="rId7" display="fredy1219r@yahoo.com"/>
    <hyperlink ref="F11" r:id="rId8" display="evelicores@gmail.com"/>
    <hyperlink ref="F16" r:id="rId9" display="alexarosso77@hotmail.com"/>
    <hyperlink ref="F3" r:id="rId10" display="17051999cmb@gmail.com"/>
    <hyperlink ref="F34" r:id="rId11" display="urispadillaperez@gmail.com"/>
    <hyperlink ref="F31" r:id="rId12" display="csotodiaz534@gmail.com"/>
    <hyperlink ref="F26" r:id="rId13" display="luz.msc@hotmail.com"/>
    <hyperlink ref="F33" r:id="rId14" display="Tatianamserna2@gmail.com"/>
    <hyperlink ref="F18" r:id="rId15" display="joseketterer139@gmail.com"/>
    <hyperlink ref="F21" r:id="rId16" display="laura081996@hotmail.com"/>
    <hyperlink ref="F20" r:id="rId17" display="juliomauricio76@hotmail.com"/>
    <hyperlink ref="F7" r:id="rId18" display="derwis.jose25@gmail.com"/>
    <hyperlink ref="F12" r:id="rId19" display="fray.mercado05@gmail.com"/>
    <hyperlink ref="F35" r:id="rId20" display="chalarca.valent@outlook.com"/>
    <hyperlink ref="F10" r:id="rId21" display="osoriocordobajose@gmail.com"/>
    <hyperlink ref="F2" r:id="rId22" display="braynervergara09@gmail.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tabSelected="1" workbookViewId="0">
      <pane ySplit="1" topLeftCell="A2" activePane="bottomLeft" state="frozen"/>
      <selection/>
      <selection pane="bottomLeft" activeCell="G5" sqref="G5"/>
    </sheetView>
  </sheetViews>
  <sheetFormatPr defaultColWidth="9" defaultRowHeight="15" outlineLevelCol="6"/>
  <cols>
    <col min="1" max="1" width="30" style="3" customWidth="1"/>
    <col min="2" max="2" width="22" style="3" customWidth="1"/>
    <col min="3" max="3" width="45" style="3" customWidth="1"/>
    <col min="4" max="4" width="18" style="3" customWidth="1"/>
    <col min="5" max="5" width="20" style="3" customWidth="1"/>
    <col min="6" max="6" width="30" style="3" customWidth="1"/>
    <col min="7" max="7" width="20" style="3" customWidth="1"/>
    <col min="8" max="16384" width="9" style="3"/>
  </cols>
  <sheetData>
    <row r="1" ht="25.5" spans="1:7">
      <c r="A1" s="1" t="s">
        <v>144</v>
      </c>
      <c r="B1" s="1" t="s">
        <v>145</v>
      </c>
      <c r="C1" s="1" t="s">
        <v>146</v>
      </c>
      <c r="D1" s="1" t="s">
        <v>147</v>
      </c>
      <c r="E1" s="1" t="s">
        <v>148</v>
      </c>
      <c r="F1" s="1" t="s">
        <v>149</v>
      </c>
      <c r="G1" s="1" t="s">
        <v>150</v>
      </c>
    </row>
    <row r="2" ht="63.75" spans="1:7">
      <c r="A2" s="4" t="s">
        <v>151</v>
      </c>
      <c r="B2" s="4" t="s">
        <v>152</v>
      </c>
      <c r="C2" s="4" t="s">
        <v>153</v>
      </c>
      <c r="D2" s="4" t="s">
        <v>154</v>
      </c>
      <c r="E2" s="4" t="s">
        <v>155</v>
      </c>
      <c r="F2" s="4" t="s">
        <v>156</v>
      </c>
      <c r="G2" s="4" t="s">
        <v>157</v>
      </c>
    </row>
    <row r="3" ht="114.75" spans="1:7">
      <c r="A3" s="4" t="s">
        <v>158</v>
      </c>
      <c r="B3" s="4" t="s">
        <v>152</v>
      </c>
      <c r="C3" s="4" t="s">
        <v>159</v>
      </c>
      <c r="D3" s="4" t="s">
        <v>154</v>
      </c>
      <c r="E3" s="4" t="s">
        <v>155</v>
      </c>
      <c r="F3" s="4" t="s">
        <v>156</v>
      </c>
      <c r="G3" s="4">
        <v>12</v>
      </c>
    </row>
    <row r="4" ht="63.75" spans="1:7">
      <c r="A4" s="4" t="s">
        <v>160</v>
      </c>
      <c r="B4" s="4" t="s">
        <v>152</v>
      </c>
      <c r="C4" s="4" t="s">
        <v>161</v>
      </c>
      <c r="D4" s="4" t="s">
        <v>162</v>
      </c>
      <c r="E4" s="4"/>
      <c r="F4" s="4" t="s">
        <v>163</v>
      </c>
      <c r="G4" s="4">
        <v>6</v>
      </c>
    </row>
    <row r="5" ht="178.5" spans="1:7">
      <c r="A5" s="4" t="s">
        <v>164</v>
      </c>
      <c r="B5" s="4" t="s">
        <v>152</v>
      </c>
      <c r="C5" s="4" t="s">
        <v>165</v>
      </c>
      <c r="D5" s="4" t="s">
        <v>154</v>
      </c>
      <c r="E5" s="4" t="s">
        <v>166</v>
      </c>
      <c r="F5" s="4" t="s">
        <v>167</v>
      </c>
      <c r="G5" s="4">
        <v>6</v>
      </c>
    </row>
    <row r="6" ht="127.5" spans="1:7">
      <c r="A6" s="4" t="s">
        <v>168</v>
      </c>
      <c r="B6" s="4" t="s">
        <v>152</v>
      </c>
      <c r="C6" s="4" t="s">
        <v>169</v>
      </c>
      <c r="D6" s="4" t="s">
        <v>154</v>
      </c>
      <c r="E6" s="4" t="s">
        <v>166</v>
      </c>
      <c r="F6" s="4" t="s">
        <v>167</v>
      </c>
      <c r="G6" s="4">
        <v>12</v>
      </c>
    </row>
    <row r="7" ht="127.5" spans="1:7">
      <c r="A7" s="4" t="s">
        <v>170</v>
      </c>
      <c r="B7" s="4" t="s">
        <v>171</v>
      </c>
      <c r="C7" s="4" t="s">
        <v>172</v>
      </c>
      <c r="D7" s="4" t="s">
        <v>154</v>
      </c>
      <c r="E7" s="4" t="s">
        <v>166</v>
      </c>
      <c r="F7" s="4" t="s">
        <v>167</v>
      </c>
      <c r="G7" s="4">
        <v>12</v>
      </c>
    </row>
    <row r="8" ht="51" spans="1:7">
      <c r="A8" s="4" t="s">
        <v>173</v>
      </c>
      <c r="B8" s="4" t="s">
        <v>171</v>
      </c>
      <c r="C8" s="4" t="s">
        <v>174</v>
      </c>
      <c r="D8" s="4" t="s">
        <v>162</v>
      </c>
      <c r="E8" s="4" t="s">
        <v>175</v>
      </c>
      <c r="F8" s="4" t="s">
        <v>176</v>
      </c>
      <c r="G8" s="4">
        <v>24</v>
      </c>
    </row>
    <row r="9" ht="51" spans="1:7">
      <c r="A9" s="4" t="s">
        <v>177</v>
      </c>
      <c r="B9" s="4" t="s">
        <v>171</v>
      </c>
      <c r="C9" s="4" t="s">
        <v>178</v>
      </c>
      <c r="D9" s="4" t="s">
        <v>154</v>
      </c>
      <c r="E9" s="4" t="s">
        <v>175</v>
      </c>
      <c r="F9" s="4" t="s">
        <v>179</v>
      </c>
      <c r="G9" s="4">
        <v>6</v>
      </c>
    </row>
    <row r="10" ht="25.5" spans="1:7">
      <c r="A10" s="4" t="s">
        <v>180</v>
      </c>
      <c r="B10" s="4" t="s">
        <v>171</v>
      </c>
      <c r="C10" s="4" t="s">
        <v>181</v>
      </c>
      <c r="D10" s="4" t="s">
        <v>154</v>
      </c>
      <c r="E10" s="4" t="s">
        <v>166</v>
      </c>
      <c r="F10" s="4" t="s">
        <v>167</v>
      </c>
      <c r="G10" s="4">
        <v>12</v>
      </c>
    </row>
    <row r="11" ht="204" spans="1:7">
      <c r="A11" s="4" t="s">
        <v>182</v>
      </c>
      <c r="B11" s="4" t="s">
        <v>171</v>
      </c>
      <c r="C11" s="4" t="s">
        <v>183</v>
      </c>
      <c r="D11" s="4" t="s">
        <v>154</v>
      </c>
      <c r="E11" s="4" t="s">
        <v>166</v>
      </c>
      <c r="F11" s="4" t="s">
        <v>167</v>
      </c>
      <c r="G11" s="4">
        <v>6</v>
      </c>
    </row>
    <row r="12" ht="89.25" spans="1:7">
      <c r="A12" s="4" t="s">
        <v>184</v>
      </c>
      <c r="B12" s="4" t="s">
        <v>171</v>
      </c>
      <c r="C12" s="4" t="s">
        <v>185</v>
      </c>
      <c r="D12" s="4" t="s">
        <v>154</v>
      </c>
      <c r="E12" s="4" t="s">
        <v>166</v>
      </c>
      <c r="F12" s="4" t="s">
        <v>167</v>
      </c>
      <c r="G12" s="4">
        <v>6</v>
      </c>
    </row>
    <row r="13" ht="89.25" spans="1:7">
      <c r="A13" s="4" t="s">
        <v>186</v>
      </c>
      <c r="B13" s="4" t="s">
        <v>171</v>
      </c>
      <c r="C13" s="4" t="s">
        <v>187</v>
      </c>
      <c r="D13" s="4" t="s">
        <v>154</v>
      </c>
      <c r="E13" s="4" t="s">
        <v>166</v>
      </c>
      <c r="F13" s="4" t="s">
        <v>188</v>
      </c>
      <c r="G13" s="4">
        <v>8</v>
      </c>
    </row>
    <row r="14" ht="63.75" spans="1:7">
      <c r="A14" s="4" t="s">
        <v>189</v>
      </c>
      <c r="B14" s="4" t="s">
        <v>190</v>
      </c>
      <c r="C14" s="4" t="s">
        <v>191</v>
      </c>
      <c r="D14" s="4" t="s">
        <v>162</v>
      </c>
      <c r="E14" s="4" t="s">
        <v>192</v>
      </c>
      <c r="F14" s="4" t="s">
        <v>193</v>
      </c>
      <c r="G14" s="4">
        <v>12</v>
      </c>
    </row>
    <row r="15" ht="114.75" spans="1:7">
      <c r="A15" s="4" t="s">
        <v>194</v>
      </c>
      <c r="B15" s="4" t="s">
        <v>190</v>
      </c>
      <c r="C15" s="4" t="s">
        <v>195</v>
      </c>
      <c r="D15" s="4" t="s">
        <v>154</v>
      </c>
      <c r="E15" s="4" t="s">
        <v>155</v>
      </c>
      <c r="F15" s="4" t="s">
        <v>196</v>
      </c>
      <c r="G15" s="4">
        <v>12</v>
      </c>
    </row>
    <row r="16" ht="63.75" spans="1:7">
      <c r="A16" s="4" t="s">
        <v>197</v>
      </c>
      <c r="B16" s="4" t="s">
        <v>190</v>
      </c>
      <c r="C16" s="4" t="s">
        <v>198</v>
      </c>
      <c r="D16" s="4" t="s">
        <v>154</v>
      </c>
      <c r="E16" s="4" t="s">
        <v>166</v>
      </c>
      <c r="F16" s="4" t="s">
        <v>167</v>
      </c>
      <c r="G16" s="4">
        <v>12</v>
      </c>
    </row>
    <row r="17" ht="127.5" spans="1:7">
      <c r="A17" s="4" t="s">
        <v>199</v>
      </c>
      <c r="B17" s="4" t="s">
        <v>200</v>
      </c>
      <c r="C17" s="4" t="s">
        <v>201</v>
      </c>
      <c r="D17" s="4" t="s">
        <v>154</v>
      </c>
      <c r="E17" s="4" t="s">
        <v>155</v>
      </c>
      <c r="F17" s="4" t="s">
        <v>202</v>
      </c>
      <c r="G17" s="4">
        <v>12</v>
      </c>
    </row>
    <row r="18" ht="165.75" spans="1:7">
      <c r="A18" s="4" t="s">
        <v>203</v>
      </c>
      <c r="B18" s="4" t="s">
        <v>200</v>
      </c>
      <c r="C18" s="4" t="s">
        <v>204</v>
      </c>
      <c r="D18" s="4" t="s">
        <v>162</v>
      </c>
      <c r="E18" s="4" t="s">
        <v>155</v>
      </c>
      <c r="F18" s="4" t="s">
        <v>205</v>
      </c>
      <c r="G18" s="4">
        <v>12</v>
      </c>
    </row>
    <row r="19" ht="102" spans="1:7">
      <c r="A19" s="4" t="s">
        <v>206</v>
      </c>
      <c r="B19" s="4" t="s">
        <v>190</v>
      </c>
      <c r="C19" s="4" t="s">
        <v>207</v>
      </c>
      <c r="D19" s="4" t="s">
        <v>162</v>
      </c>
      <c r="E19" s="4" t="s">
        <v>192</v>
      </c>
      <c r="F19" s="4" t="s">
        <v>208</v>
      </c>
      <c r="G19" s="4">
        <f>4*12</f>
        <v>48</v>
      </c>
    </row>
    <row r="20" ht="51" spans="1:7">
      <c r="A20" s="4" t="s">
        <v>209</v>
      </c>
      <c r="B20" s="4" t="s">
        <v>190</v>
      </c>
      <c r="C20" s="4" t="s">
        <v>210</v>
      </c>
      <c r="D20" s="4" t="s">
        <v>154</v>
      </c>
      <c r="E20" s="4" t="s">
        <v>192</v>
      </c>
      <c r="F20" s="4" t="s">
        <v>211</v>
      </c>
      <c r="G20" s="4">
        <v>24</v>
      </c>
    </row>
    <row r="21" ht="63.75" spans="1:7">
      <c r="A21" s="4" t="s">
        <v>212</v>
      </c>
      <c r="B21" s="4" t="s">
        <v>213</v>
      </c>
      <c r="C21" s="4" t="s">
        <v>214</v>
      </c>
      <c r="D21" s="4" t="s">
        <v>162</v>
      </c>
      <c r="E21" s="4" t="s">
        <v>192</v>
      </c>
      <c r="F21" s="4" t="s">
        <v>215</v>
      </c>
      <c r="G21" s="4">
        <f>3*12</f>
        <v>36</v>
      </c>
    </row>
    <row r="22" ht="38.25" spans="1:7">
      <c r="A22" s="4" t="s">
        <v>216</v>
      </c>
      <c r="B22" s="4" t="s">
        <v>213</v>
      </c>
      <c r="C22" s="4" t="s">
        <v>217</v>
      </c>
      <c r="D22" s="4" t="s">
        <v>154</v>
      </c>
      <c r="E22" s="4" t="s">
        <v>155</v>
      </c>
      <c r="F22" s="4" t="s">
        <v>218</v>
      </c>
      <c r="G22" s="4">
        <v>6</v>
      </c>
    </row>
    <row r="23" ht="63.75" spans="1:7">
      <c r="A23" s="4" t="s">
        <v>219</v>
      </c>
      <c r="B23" s="4" t="s">
        <v>213</v>
      </c>
      <c r="C23" s="4" t="s">
        <v>214</v>
      </c>
      <c r="D23" s="4" t="s">
        <v>162</v>
      </c>
      <c r="E23" s="4" t="s">
        <v>192</v>
      </c>
      <c r="F23" s="4" t="s">
        <v>215</v>
      </c>
      <c r="G23" s="4">
        <f>3*12</f>
        <v>36</v>
      </c>
    </row>
    <row r="24" ht="51" spans="1:7">
      <c r="A24" s="4" t="s">
        <v>220</v>
      </c>
      <c r="B24" s="4" t="s">
        <v>213</v>
      </c>
      <c r="C24" s="4" t="s">
        <v>221</v>
      </c>
      <c r="D24" s="4" t="s">
        <v>154</v>
      </c>
      <c r="E24" s="4" t="s">
        <v>155</v>
      </c>
      <c r="F24" s="4" t="s">
        <v>222</v>
      </c>
      <c r="G24" s="4">
        <v>6</v>
      </c>
    </row>
    <row r="25" ht="51" spans="1:7">
      <c r="A25" s="4" t="s">
        <v>223</v>
      </c>
      <c r="B25" s="4" t="s">
        <v>213</v>
      </c>
      <c r="C25" s="4" t="s">
        <v>221</v>
      </c>
      <c r="D25" s="4" t="s">
        <v>154</v>
      </c>
      <c r="E25" s="4" t="s">
        <v>155</v>
      </c>
      <c r="F25" s="4" t="s">
        <v>218</v>
      </c>
      <c r="G25" s="4">
        <v>6</v>
      </c>
    </row>
  </sheetData>
  <dataValidations count="2">
    <dataValidation type="list" allowBlank="1" sqref="E5 E12 E16 E23 E2:E4 E6:E11 E13:E15 E17:E22 E24:E202">
      <formula1>"Ninguno,Bachillerato,Técnico,Tecnólogo,Universitario,Empírico"</formula1>
    </dataValidation>
    <dataValidation type="list" allowBlank="1" sqref="D12 D16 D23 D2:D11 D13:D15 D17:D22 D24:D202">
      <formula1>"Sí,No"</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pane ySplit="1" topLeftCell="A2" activePane="bottomLeft" state="frozen"/>
      <selection/>
      <selection pane="bottomLeft" activeCell="A1" sqref="A1"/>
    </sheetView>
  </sheetViews>
  <sheetFormatPr defaultColWidth="9" defaultRowHeight="15" outlineLevelRow="1" outlineLevelCol="6"/>
  <cols>
    <col min="1" max="1" width="28" customWidth="1"/>
    <col min="2" max="2" width="16" customWidth="1"/>
    <col min="3" max="3" width="32" customWidth="1"/>
    <col min="4" max="4" width="22" customWidth="1"/>
    <col min="5" max="6" width="18" customWidth="1"/>
    <col min="7" max="7" width="22" customWidth="1"/>
  </cols>
  <sheetData>
    <row r="1" ht="25.5" spans="1:7">
      <c r="A1" s="1" t="s">
        <v>224</v>
      </c>
      <c r="B1" s="1" t="s">
        <v>225</v>
      </c>
      <c r="C1" s="1" t="s">
        <v>226</v>
      </c>
      <c r="D1" s="1" t="s">
        <v>227</v>
      </c>
      <c r="E1" s="1" t="s">
        <v>228</v>
      </c>
      <c r="F1" s="1" t="s">
        <v>229</v>
      </c>
      <c r="G1" s="1" t="s">
        <v>230</v>
      </c>
    </row>
    <row r="2" spans="1:7">
      <c r="A2" s="2" t="s">
        <v>231</v>
      </c>
      <c r="B2" s="2" t="s">
        <v>232</v>
      </c>
      <c r="C2" s="2" t="s">
        <v>233</v>
      </c>
      <c r="D2" s="2" t="s">
        <v>234</v>
      </c>
      <c r="E2" s="2" t="s">
        <v>235</v>
      </c>
      <c r="F2" s="2" t="s">
        <v>236</v>
      </c>
      <c r="G2" s="2" t="s">
        <v>162</v>
      </c>
    </row>
  </sheetData>
  <dataValidations count="2">
    <dataValidation type="list" allowBlank="1" sqref="B2:B500">
      <formula1>"Académica,Certificación,Curso,Experiencia laboral"</formula1>
    </dataValidation>
    <dataValidation type="list" allowBlank="1" sqref="G2:G500">
      <formula1>"Sí,No"</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Instrucciones</vt:lpstr>
      <vt:lpstr>1. Colaboradores</vt:lpstr>
      <vt:lpstr>2. Cargos</vt:lpstr>
      <vt:lpstr>3. Formación y SST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Rozo</cp:lastModifiedBy>
  <dcterms:created xsi:type="dcterms:W3CDTF">2026-07-17T13:06:00Z</dcterms:created>
  <dcterms:modified xsi:type="dcterms:W3CDTF">2026-07-30T02:25:52Z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E486895CD7164278A90A34FF02054E33_12</vt:lpwstr>
  </property>
  <property fmtid="{D5CDD505-2E9C-101B-9397-08002B2CF9AE}" pid="3" name="KSOProductBuildVer">
    <vt:lpwstr>2058-12.1.0.27458</vt:lpwstr>
  </property>
  <property fmtid="{D5CDD505-2E9C-101B-9397-08002B2CF9AE}" pid="4" name="CalculationRule">
    <vt:i4>0</vt:i4>
  </property>
</Properties>
</file>